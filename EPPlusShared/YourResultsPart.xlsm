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EPPlusBugs\EPPlusShared\"/>
    </mc:Choice>
  </mc:AlternateContent>
  <xr:revisionPtr revIDLastSave="0" documentId="13_ncr:1_{B89767C2-A299-41AF-A72E-1E2CDFC5D43F}" xr6:coauthVersionLast="47" xr6:coauthVersionMax="47" xr10:uidLastSave="{00000000-0000-0000-0000-000000000000}"/>
  <bookViews>
    <workbookView xWindow="-120" yWindow="-120" windowWidth="38640" windowHeight="15840" tabRatio="763" xr2:uid="{00000000-000D-0000-FFFF-FFFF00000000}"/>
  </bookViews>
  <sheets>
    <sheet name="YourResults" sheetId="5" r:id="rId1"/>
    <sheet name="YourResultsChart" sheetId="51" r:id="rId2"/>
  </sheets>
  <definedNames>
    <definedName name="aoc_description" localSheetId="0">YourResults!$C$8:$C$22</definedName>
    <definedName name="aoc_value" localSheetId="0">YourResults!$D$8:$D$22</definedName>
    <definedName name="AssetLiabNumberFormat" localSheetId="0">YourResults!$E$4</definedName>
    <definedName name="Ind_AoC" localSheetId="0">YourResults!$B$8:$B$22</definedName>
    <definedName name="Ind_AoC" localSheetId="1">YourResultsChart!$B$8:$B$22</definedName>
    <definedName name="Label_Prev" localSheetId="0">YourResults!$E$3</definedName>
    <definedName name="Label_This" localSheetId="0">YourResults!$E$25</definedName>
    <definedName name="matched_in_data" localSheetId="1">YourResultsChart!$E$8:$E$22</definedName>
    <definedName name="matched_in_description" localSheetId="1">YourResultsChart!$D$8:$D$22</definedName>
    <definedName name="Max_chart" localSheetId="1">YourResultsChart!$B$3</definedName>
    <definedName name="Min_chart" localSheetId="1">YourResultsChart!$B$2</definedName>
    <definedName name="Value_Prev" localSheetId="0">YourResults!$E$2</definedName>
    <definedName name="Value_This" localSheetId="0">YourResults!$E$24</definedName>
    <definedName name="values" localSheetId="1">YourResultsChart!$F$8:$F$22</definedName>
  </definedNames>
  <calcPr calcId="191029" calcMode="manual" calcCompleted="0" calcOnSave="0"/>
  <webPublishing codePag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5" l="1"/>
  <c r="E24" i="51"/>
  <c r="E5" i="51"/>
  <c r="D24" i="51" l="1"/>
  <c r="D5" i="51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E20" i="51" l="1"/>
  <c r="F20" i="51" s="1"/>
  <c r="D21" i="51"/>
  <c r="E11" i="51"/>
  <c r="F11" i="51" s="1"/>
  <c r="E15" i="51"/>
  <c r="F15" i="51" s="1"/>
  <c r="D18" i="51"/>
  <c r="D22" i="51"/>
  <c r="E10" i="51"/>
  <c r="F10" i="51" s="1"/>
  <c r="E14" i="51"/>
  <c r="F14" i="51" s="1"/>
  <c r="E18" i="51"/>
  <c r="F18" i="51" s="1"/>
  <c r="E22" i="51"/>
  <c r="F22" i="51" s="1"/>
  <c r="D8" i="51"/>
  <c r="E9" i="51"/>
  <c r="F9" i="51" s="1"/>
  <c r="D12" i="51"/>
  <c r="E13" i="51"/>
  <c r="F13" i="51" s="1"/>
  <c r="D16" i="51"/>
  <c r="E17" i="51"/>
  <c r="F17" i="51" s="1"/>
  <c r="D20" i="51"/>
  <c r="E21" i="51"/>
  <c r="F21" i="51" s="1"/>
  <c r="D10" i="51"/>
  <c r="D14" i="51"/>
  <c r="E19" i="51"/>
  <c r="F19" i="51" s="1"/>
  <c r="D9" i="51"/>
  <c r="D13" i="51"/>
  <c r="D17" i="51"/>
  <c r="E8" i="51"/>
  <c r="F8" i="51" s="1"/>
  <c r="D11" i="51"/>
  <c r="E12" i="51"/>
  <c r="F12" i="51" s="1"/>
  <c r="D15" i="51"/>
  <c r="E16" i="51"/>
  <c r="F16" i="51" s="1"/>
  <c r="D19" i="51"/>
  <c r="B3" i="51" l="1"/>
  <c r="B2" i="51"/>
</calcChain>
</file>

<file path=xl/sharedStrings.xml><?xml version="1.0" encoding="utf-8"?>
<sst xmlns="http://schemas.openxmlformats.org/spreadsheetml/2006/main" count="25" uniqueCount="24">
  <si>
    <t>Label_This</t>
  </si>
  <si>
    <t>Value_This</t>
  </si>
  <si>
    <t>Miscellaneous</t>
  </si>
  <si>
    <t>aoc_value</t>
  </si>
  <si>
    <t>aoc_description</t>
  </si>
  <si>
    <t>Ind_AoC</t>
  </si>
  <si>
    <t>Label_Prev</t>
  </si>
  <si>
    <t>Value_Prev</t>
  </si>
  <si>
    <t>AssetLiabNumberFormat</t>
  </si>
  <si>
    <t>matched_in_data</t>
  </si>
  <si>
    <t>matched_in_description</t>
  </si>
  <si>
    <t>Max_chart</t>
  </si>
  <si>
    <t>Min_chart</t>
  </si>
  <si>
    <t>values</t>
  </si>
  <si>
    <t>Result last time</t>
  </si>
  <si>
    <t>Result this time</t>
  </si>
  <si>
    <t>Change 1</t>
  </si>
  <si>
    <t>Change 2</t>
  </si>
  <si>
    <t>Change 3</t>
  </si>
  <si>
    <t>Change 4</t>
  </si>
  <si>
    <t>Change 5</t>
  </si>
  <si>
    <t>Change 6</t>
  </si>
  <si>
    <t>Change 7</t>
  </si>
  <si>
    <t>£#,##0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</si>
</sst>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(&quot;£&quot;* #,##0_);_(&quot;£&quot;* \(#,##0\);_(&quot;£&quot;* &quot;-&quot;_);_(@_)"/>
    <numFmt numFmtId="165" formatCode="_(* #,##0_);_(* \(#,##0\);_(* &quot;-&quot;_);_(@_)"/>
    <numFmt numFmtId="166" formatCode="_(&quot;£&quot;* #,##0.00_);_(&quot;£&quot;* \(#,##0.00\);_(&quot;£&quot;* &quot;-&quot;??_);_(@_)"/>
    <numFmt numFmtId="167" formatCode="_(* #,##0.00_);_(* \(#,##0.00\);_(* &quot;-&quot;??_);_(@_)"/>
    <numFmt numFmtId="168" formatCode="d/m/yyyy\ \-\ hh:mm"/>
    <numFmt numFmtId="169" formatCode="_-[$€-2]* #,##0.00_-;\-[$€-2]* #,##0.00_-;_-[$€-2]* &quot;-&quot;??_-"/>
    <numFmt numFmtId="170" formatCode="0.000000"/>
    <numFmt numFmtId="171" formatCode="[Black]General;[Black]General;[Black]General;[Black]General"/>
    <numFmt numFmtId="172" formatCode="&quot;0&quot;0"/>
    <numFmt numFmtId="173" formatCode="d\ mmmm\ yyyy"/>
    <numFmt numFmtId="174" formatCode="#,##0.0_);[Red]\(#,##0.0\)"/>
    <numFmt numFmtId="175" formatCode="0.0000"/>
    <numFmt numFmtId="176" formatCode="dd\ mmm\ yyyy"/>
    <numFmt numFmtId="177" formatCode="#\ ?/12"/>
    <numFmt numFmtId="178" formatCode="&quot;£&quot;#,##0.0,,&quot;M&quot;;\(&quot;£&quot;#,##0.0,,&quot;M&quot;\)"/>
    <numFmt numFmtId="179" formatCode="&quot;£&quot;#,##0.0,,&quot;M&quot;"/>
    <numFmt numFmtId="180" formatCode="&quot;£&quot;#,##0;\(&quot;£&quot;#,##0\)"/>
  </numFmts>
  <fonts count="18" x14ac:knownFonts="1">
    <font>
      <sz val="11"/>
      <color theme="1"/>
      <name val="Calibri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Times New Roman"/>
      <family val="1"/>
    </font>
    <font>
      <b/>
      <sz val="10"/>
      <name val="Times New Roman"/>
      <family val="1"/>
    </font>
    <font>
      <sz val="12"/>
      <color indexed="9"/>
      <name val="Arial"/>
      <family val="2"/>
    </font>
    <font>
      <sz val="12"/>
      <name val="Arial"/>
      <family val="2"/>
    </font>
    <font>
      <i/>
      <sz val="10"/>
      <name val="Helv"/>
    </font>
    <font>
      <sz val="11"/>
      <color indexed="8"/>
      <name val="Calibri"/>
      <family val="2"/>
    </font>
    <font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0"/>
      <name val="Times New Roman"/>
    </font>
    <font>
      <sz val="8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6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14"/>
      </left>
      <right style="thin">
        <color indexed="14"/>
      </right>
      <top style="thin">
        <color indexed="14"/>
      </top>
      <bottom style="thin">
        <color indexed="14"/>
      </bottom>
      <diagonal/>
    </border>
    <border>
      <left style="thin">
        <color rgb="FF828487"/>
      </left>
      <right style="thin">
        <color rgb="FF828487"/>
      </right>
      <top style="thin">
        <color rgb="FF828487"/>
      </top>
      <bottom style="thin">
        <color rgb="FF828487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55">
    <xf numFmtId="0" fontId="0" fillId="0" borderId="0"/>
    <xf numFmtId="9" fontId="14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4" fillId="0" borderId="0"/>
    <xf numFmtId="165" fontId="1" fillId="0" borderId="0" applyFont="0" applyFill="0" applyBorder="0" applyAlignment="0" applyProtection="0"/>
    <xf numFmtId="167" fontId="14" fillId="0" borderId="0"/>
    <xf numFmtId="167" fontId="14" fillId="0" borderId="0"/>
    <xf numFmtId="167" fontId="14" fillId="0" borderId="0"/>
    <xf numFmtId="167" fontId="14" fillId="0" borderId="0"/>
    <xf numFmtId="167" fontId="14" fillId="0" borderId="0"/>
    <xf numFmtId="0" fontId="4" fillId="2" borderId="0">
      <alignment horizontal="right"/>
      <protection locked="0"/>
    </xf>
    <xf numFmtId="14" fontId="4" fillId="0" borderId="0">
      <alignment horizontal="right"/>
    </xf>
    <xf numFmtId="168" fontId="4" fillId="0" borderId="0">
      <alignment horizontal="right"/>
    </xf>
    <xf numFmtId="14" fontId="4" fillId="0" borderId="0">
      <alignment horizontal="right"/>
    </xf>
    <xf numFmtId="169" fontId="1" fillId="0" borderId="0"/>
    <xf numFmtId="170" fontId="4" fillId="0" borderId="0">
      <alignment horizontal="right"/>
    </xf>
    <xf numFmtId="0" fontId="5" fillId="0" borderId="0">
      <alignment horizontal="left"/>
    </xf>
    <xf numFmtId="171" fontId="6" fillId="0" borderId="0"/>
    <xf numFmtId="1" fontId="4" fillId="0" borderId="0">
      <alignment horizontal="right"/>
    </xf>
    <xf numFmtId="172" fontId="7" fillId="0" borderId="0"/>
    <xf numFmtId="173" fontId="1" fillId="0" borderId="0"/>
    <xf numFmtId="38" fontId="7" fillId="0" borderId="0"/>
    <xf numFmtId="174" fontId="7" fillId="0" borderId="0"/>
    <xf numFmtId="40" fontId="7" fillId="0" borderId="0"/>
    <xf numFmtId="0" fontId="1" fillId="0" borderId="0"/>
    <xf numFmtId="0" fontId="4" fillId="0" borderId="0"/>
    <xf numFmtId="0" fontId="14" fillId="0" borderId="0"/>
    <xf numFmtId="0" fontId="8" fillId="0" borderId="1"/>
    <xf numFmtId="0" fontId="8" fillId="0" borderId="1"/>
    <xf numFmtId="9" fontId="14" fillId="0" borderId="0"/>
    <xf numFmtId="9" fontId="14" fillId="0" borderId="0"/>
    <xf numFmtId="9" fontId="9" fillId="0" borderId="0"/>
    <xf numFmtId="9" fontId="14" fillId="0" borderId="0"/>
    <xf numFmtId="9" fontId="1" fillId="0" borderId="0"/>
    <xf numFmtId="175" fontId="4" fillId="0" borderId="0">
      <alignment horizontal="right"/>
    </xf>
    <xf numFmtId="176" fontId="1" fillId="0" borderId="0"/>
    <xf numFmtId="177" fontId="4" fillId="0" borderId="0"/>
    <xf numFmtId="0" fontId="13" fillId="0" borderId="0"/>
    <xf numFmtId="0" fontId="4" fillId="0" borderId="0"/>
    <xf numFmtId="9" fontId="1" fillId="0" borderId="0"/>
    <xf numFmtId="167" fontId="14" fillId="0" borderId="0"/>
    <xf numFmtId="167" fontId="1" fillId="0" borderId="0"/>
    <xf numFmtId="167" fontId="1" fillId="0" borderId="0"/>
    <xf numFmtId="0" fontId="14" fillId="0" borderId="0"/>
    <xf numFmtId="0" fontId="14" fillId="0" borderId="0"/>
    <xf numFmtId="0" fontId="10" fillId="0" borderId="0"/>
    <xf numFmtId="9" fontId="1" fillId="0" borderId="0"/>
    <xf numFmtId="167" fontId="14" fillId="0" borderId="0"/>
    <xf numFmtId="167" fontId="1" fillId="0" borderId="0"/>
    <xf numFmtId="0" fontId="12" fillId="0" borderId="0">
      <alignment horizontal="left" wrapText="1"/>
    </xf>
    <xf numFmtId="167" fontId="1" fillId="0" borderId="0"/>
    <xf numFmtId="0" fontId="4" fillId="0" borderId="0"/>
    <xf numFmtId="0" fontId="15" fillId="0" borderId="0"/>
    <xf numFmtId="0" fontId="16" fillId="0" borderId="0"/>
  </cellStyleXfs>
  <cellXfs count="25">
    <xf numFmtId="0" fontId="0" fillId="0" borderId="0" xfId="0"/>
    <xf numFmtId="0" fontId="11" fillId="0" borderId="2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0" fillId="3" borderId="3" xfId="0" applyFont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" fillId="0" borderId="0" xfId="0" applyFont="1"/>
    <xf numFmtId="0" fontId="0" fillId="0" borderId="0" xfId="0" applyFont="1"/>
    <xf numFmtId="0" fontId="11" fillId="0" borderId="5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/>
    <xf numFmtId="3" fontId="10" fillId="4" borderId="4" xfId="0" applyNumberFormat="1" applyFont="1" applyFill="1" applyBorder="1" applyAlignment="1" applyProtection="1">
      <alignment horizontal="center" vertical="center" wrapText="1"/>
      <protection locked="0"/>
    </xf>
    <xf numFmtId="3" fontId="10" fillId="3" borderId="3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/>
    <xf numFmtId="0" fontId="0" fillId="0" borderId="0" xfId="0" applyBorder="1" applyAlignment="1">
      <alignment horizontal="left"/>
    </xf>
    <xf numFmtId="178" fontId="2" fillId="0" borderId="0" xfId="48" applyNumberFormat="1" applyFont="1" applyBorder="1" applyAlignment="1">
      <alignment horizontal="center"/>
    </xf>
    <xf numFmtId="178" fontId="0" fillId="0" borderId="0" xfId="0" applyNumberFormat="1" applyBorder="1"/>
    <xf numFmtId="178" fontId="0" fillId="0" borderId="0" xfId="48" applyNumberFormat="1" applyFont="1" applyBorder="1" applyAlignment="1">
      <alignment horizontal="left"/>
    </xf>
    <xf numFmtId="179" fontId="0" fillId="0" borderId="0" xfId="48" applyNumberFormat="1" applyFont="1" applyBorder="1"/>
    <xf numFmtId="178" fontId="11" fillId="0" borderId="0" xfId="0" applyNumberFormat="1" applyFont="1" applyFill="1" applyBorder="1" applyAlignment="1">
      <alignment horizontal="center" vertical="center"/>
    </xf>
    <xf numFmtId="178" fontId="0" fillId="0" borderId="0" xfId="48" applyNumberFormat="1" applyFont="1" applyBorder="1"/>
    <xf numFmtId="3" fontId="10" fillId="5" borderId="3" xfId="0" applyNumberFormat="1" applyFont="1" applyFill="1" applyBorder="1" applyAlignment="1" applyProtection="1">
      <alignment horizontal="center" vertical="center"/>
      <protection locked="0"/>
    </xf>
    <xf numFmtId="0" fontId="10" fillId="4" borderId="4" xfId="0" applyFont="1" applyFill="1" applyBorder="1" applyAlignment="1">
      <alignment horizontal="center" vertical="center"/>
    </xf>
    <xf numFmtId="180" fontId="3" fillId="0" borderId="0" xfId="48" applyNumberFormat="1" applyFont="1" applyBorder="1" applyAlignment="1">
      <alignment horizontal="right"/>
    </xf>
  </cellXfs>
  <cellStyles count="55">
    <cellStyle name="Comma" xfId="4" xr:uid="{00000000-0005-0000-0000-000000000000}"/>
    <cellStyle name="Comma [0]" xfId="5" xr:uid="{00000000-0005-0000-0000-000001000000}"/>
    <cellStyle name="Comma 10" xfId="51" xr:uid="{00000000-0005-0000-0000-000002000000}"/>
    <cellStyle name="Comma 2" xfId="6" xr:uid="{00000000-0005-0000-0000-000003000000}"/>
    <cellStyle name="Comma 2 2" xfId="41" xr:uid="{00000000-0005-0000-0000-000004000000}"/>
    <cellStyle name="Comma 3" xfId="7" xr:uid="{00000000-0005-0000-0000-000005000000}"/>
    <cellStyle name="Comma 4" xfId="8" xr:uid="{00000000-0005-0000-0000-000006000000}"/>
    <cellStyle name="Comma 5" xfId="9" xr:uid="{00000000-0005-0000-0000-000007000000}"/>
    <cellStyle name="Comma 6" xfId="10" xr:uid="{00000000-0005-0000-0000-000008000000}"/>
    <cellStyle name="Comma 7" xfId="42" xr:uid="{00000000-0005-0000-0000-000009000000}"/>
    <cellStyle name="Comma 8" xfId="43" xr:uid="{00000000-0005-0000-0000-00000A000000}"/>
    <cellStyle name="Comma 8 2" xfId="49" xr:uid="{00000000-0005-0000-0000-00000B000000}"/>
    <cellStyle name="Comma 9" xfId="48" xr:uid="{00000000-0005-0000-0000-00000C000000}"/>
    <cellStyle name="Currency" xfId="2" xr:uid="{00000000-0005-0000-0000-00000D000000}"/>
    <cellStyle name="Currency [0]" xfId="3" xr:uid="{00000000-0005-0000-0000-00000E000000}"/>
    <cellStyle name="Data Entry" xfId="11" xr:uid="{00000000-0005-0000-0000-00000F000000}"/>
    <cellStyle name="Date" xfId="12" xr:uid="{00000000-0005-0000-0000-000010000000}"/>
    <cellStyle name="Date and Time" xfId="13" xr:uid="{00000000-0005-0000-0000-000011000000}"/>
    <cellStyle name="Date_Sheet" xfId="14" xr:uid="{00000000-0005-0000-0000-000012000000}"/>
    <cellStyle name="Euro" xfId="15" xr:uid="{00000000-0005-0000-0000-000013000000}"/>
    <cellStyle name="Factor" xfId="16" xr:uid="{00000000-0005-0000-0000-000014000000}"/>
    <cellStyle name="Heading" xfId="17" xr:uid="{00000000-0005-0000-0000-000015000000}"/>
    <cellStyle name="Hide Errors" xfId="18" xr:uid="{00000000-0005-0000-0000-000016000000}"/>
    <cellStyle name="Hyperlink" xfId="38" xr:uid="{00000000-0005-0000-0000-000017000000}"/>
    <cellStyle name="Integer" xfId="19" xr:uid="{00000000-0005-0000-0000-000018000000}"/>
    <cellStyle name="Leading Zero" xfId="20" xr:uid="{00000000-0005-0000-0000-000019000000}"/>
    <cellStyle name="Long Date" xfId="21" xr:uid="{00000000-0005-0000-0000-00001A000000}"/>
    <cellStyle name="Minus (0)" xfId="22" xr:uid="{00000000-0005-0000-0000-00001B000000}"/>
    <cellStyle name="Minus (0.0)" xfId="23" xr:uid="{00000000-0005-0000-0000-00001C000000}"/>
    <cellStyle name="Minus (0.00)" xfId="24" xr:uid="{00000000-0005-0000-0000-00001D000000}"/>
    <cellStyle name="Normal" xfId="0" builtinId="0"/>
    <cellStyle name="Normal 10" xfId="25" xr:uid="{00000000-0005-0000-0000-00001F000000}"/>
    <cellStyle name="Normal 2" xfId="26" xr:uid="{00000000-0005-0000-0000-000020000000}"/>
    <cellStyle name="Normal 3" xfId="27" xr:uid="{00000000-0005-0000-0000-000021000000}"/>
    <cellStyle name="Normal 3 2" xfId="44" xr:uid="{00000000-0005-0000-0000-000022000000}"/>
    <cellStyle name="Normal 4" xfId="39" xr:uid="{00000000-0005-0000-0000-000023000000}"/>
    <cellStyle name="Normal 4 2" xfId="45" xr:uid="{00000000-0005-0000-0000-000024000000}"/>
    <cellStyle name="Normal 5" xfId="46" xr:uid="{00000000-0005-0000-0000-000025000000}"/>
    <cellStyle name="Normal 6" xfId="50" xr:uid="{00000000-0005-0000-0000-000026000000}"/>
    <cellStyle name="Normal 7" xfId="52" xr:uid="{00000000-0005-0000-0000-000027000000}"/>
    <cellStyle name="Normal 8" xfId="53" xr:uid="{00000000-0005-0000-0000-000028000000}"/>
    <cellStyle name="Normal 9" xfId="54" xr:uid="{00000000-0005-0000-0000-000029000000}"/>
    <cellStyle name="Notes" xfId="28" xr:uid="{00000000-0005-0000-0000-000032000000}"/>
    <cellStyle name="Notes 2" xfId="29" xr:uid="{00000000-0005-0000-0000-000033000000}"/>
    <cellStyle name="Percent" xfId="1" xr:uid="{00000000-0005-0000-0000-000034000000}"/>
    <cellStyle name="Percent 2" xfId="30" xr:uid="{00000000-0005-0000-0000-000035000000}"/>
    <cellStyle name="Percent 2 2" xfId="31" xr:uid="{00000000-0005-0000-0000-000036000000}"/>
    <cellStyle name="Percent 2 3" xfId="32" xr:uid="{00000000-0005-0000-0000-000037000000}"/>
    <cellStyle name="Percent 3" xfId="33" xr:uid="{00000000-0005-0000-0000-000038000000}"/>
    <cellStyle name="Percent 4" xfId="47" xr:uid="{00000000-0005-0000-0000-000039000000}"/>
    <cellStyle name="Percent 8" xfId="34" xr:uid="{00000000-0005-0000-0000-00003A000000}"/>
    <cellStyle name="Period" xfId="35" xr:uid="{00000000-0005-0000-0000-00003B000000}"/>
    <cellStyle name="s" xfId="40" xr:uid="{00000000-0005-0000-0000-00003C000000}"/>
    <cellStyle name="Short Date" xfId="36" xr:uid="{00000000-0005-0000-0000-00003D000000}"/>
    <cellStyle name="Years and Months" xfId="37" xr:uid="{00000000-0005-0000-0000-00003E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B5121B"/>
      <rgbColor rgb="00FFFFFF"/>
      <rgbColor rgb="0000FF00"/>
      <rgbColor rgb="00CFE5AE"/>
      <rgbColor rgb="007BC7EF"/>
      <rgbColor rgb="00FFF4AC"/>
      <rgbColor rgb="00828487"/>
      <rgbColor rgb="0095A9D6"/>
      <rgbColor rgb="00E11B22"/>
      <rgbColor rgb="00A3CF62"/>
      <rgbColor rgb="005EB6E4"/>
      <rgbColor rgb="00FFEB50"/>
      <rgbColor rgb="009F6FA7"/>
      <rgbColor rgb="003971B6"/>
      <rgbColor rgb="00E9EAE9"/>
      <rgbColor rgb="004D4F53"/>
      <rgbColor rgb="00003F72"/>
      <rgbColor rgb="003E6B9D"/>
      <rgbColor rgb="00839BC1"/>
      <rgbColor rgb="00B9C5DC"/>
      <rgbColor rgb="00FAF6E8"/>
      <rgbColor rgb="00F6EFD7"/>
      <rgbColor rgb="00F1E7BF"/>
      <rgbColor rgb="00D3CD8B"/>
      <rgbColor rgb="00F0AB00"/>
      <rgbColor rgb="00FFCB66"/>
      <rgbColor rgb="00FFDFA4"/>
      <rgbColor rgb="00FFEDCE"/>
      <rgbColor rgb="00BCDCE8"/>
      <rgbColor rgb="0081C1D6"/>
      <rgbColor rgb="00009FBE"/>
      <rgbColor rgb="000083A9"/>
      <rgbColor rgb="00BDE0F6"/>
      <rgbColor rgb="00C6CFE9"/>
      <rgbColor rgb="00E5F1D4"/>
      <rgbColor rgb="00FFF9D4"/>
      <rgbColor rgb="00DDEEFA"/>
      <rgbColor rgb="00C9CAC8"/>
      <rgbColor rgb="00D5C4DC"/>
      <rgbColor rgb="00D5D0C1"/>
      <rgbColor rgb="009DD3F2"/>
      <rgbColor rgb="006A8AC4"/>
      <rgbColor rgb="00FFEF83"/>
      <rgbColor rgb="00B5AF93"/>
      <rgbColor rgb="0098926C"/>
      <rgbColor rgb="007E7949"/>
      <rgbColor rgb="008A4A91"/>
      <rgbColor rgb="00CACACB"/>
      <rgbColor rgb="000039A6"/>
      <rgbColor rgb="00B9DA89"/>
      <rgbColor rgb="007AB800"/>
      <rgbColor rgb="00FFE600"/>
      <rgbColor rgb="004F4C25"/>
      <rgbColor rgb="00B896BF"/>
      <rgbColor rgb="006E267B"/>
      <rgbColor rgb="00000000"/>
    </indexedColors>
    <mruColors>
      <color rgb="FF9DD3F2"/>
      <color rgb="FFFF99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3" tint="0.59996337778862885"/>
    <pageSetUpPr fitToPage="1"/>
  </sheetPr>
  <dimension ref="B1:F25"/>
  <sheetViews>
    <sheetView showGridLines="0" tabSelected="1" workbookViewId="0">
      <selection activeCell="E8" sqref="E8"/>
    </sheetView>
  </sheetViews>
  <sheetFormatPr defaultColWidth="9.140625" defaultRowHeight="15" x14ac:dyDescent="0.25"/>
  <cols>
    <col min="1" max="1" width="3.28515625" customWidth="1"/>
    <col min="2" max="2" width="12" customWidth="1"/>
    <col min="3" max="3" width="35.7109375" customWidth="1"/>
    <col min="4" max="4" width="38" customWidth="1"/>
    <col min="5" max="5" width="25.42578125" customWidth="1"/>
    <col min="6" max="6" width="26.140625" customWidth="1"/>
    <col min="7" max="7" width="22.7109375" customWidth="1"/>
    <col min="8" max="8" width="24.5703125" customWidth="1"/>
  </cols>
  <sheetData>
    <row r="1" spans="2:6" x14ac:dyDescent="0.25">
      <c r="B1" s="6"/>
    </row>
    <row r="2" spans="2:6" x14ac:dyDescent="0.25">
      <c r="B2" s="3"/>
      <c r="D2" s="8" t="s">
        <v>7</v>
      </c>
      <c r="E2" s="12">
        <v>432</v>
      </c>
      <c r="F2" s="10"/>
    </row>
    <row r="3" spans="2:6" x14ac:dyDescent="0.25">
      <c r="B3" s="3"/>
      <c r="D3" s="8" t="s">
        <v>6</v>
      </c>
      <c r="E3" s="4" t="s">
        <v>14</v>
      </c>
    </row>
    <row r="4" spans="2:6" x14ac:dyDescent="0.25">
      <c r="B4" s="7"/>
      <c r="D4" s="8" t="s">
        <v>8</v>
      </c>
      <c r="E4" s="23" t="s">
        <v>23</v>
      </c>
    </row>
    <row r="5" spans="2:6" x14ac:dyDescent="0.25">
      <c r="B5" s="6"/>
    </row>
    <row r="6" spans="2:6" x14ac:dyDescent="0.25">
      <c r="B6" s="7"/>
      <c r="E6" s="11"/>
    </row>
    <row r="7" spans="2:6" x14ac:dyDescent="0.25">
      <c r="B7" s="8" t="s">
        <v>5</v>
      </c>
      <c r="C7" s="9" t="s">
        <v>4</v>
      </c>
      <c r="D7" s="9" t="s">
        <v>3</v>
      </c>
      <c r="E7" s="11"/>
    </row>
    <row r="8" spans="2:6" x14ac:dyDescent="0.25">
      <c r="B8" s="8">
        <f t="shared" ref="B8:B22" si="0">ROW()-ROW(Ind_AoC)+1</f>
        <v>1</v>
      </c>
      <c r="C8" s="4" t="s">
        <v>16</v>
      </c>
      <c r="D8" s="13">
        <v>-15</v>
      </c>
      <c r="E8" s="11"/>
    </row>
    <row r="9" spans="2:6" x14ac:dyDescent="0.25">
      <c r="B9" s="8">
        <f t="shared" si="0"/>
        <v>2</v>
      </c>
      <c r="C9" s="4" t="s">
        <v>17</v>
      </c>
      <c r="D9" s="13">
        <v>165</v>
      </c>
      <c r="E9" s="11"/>
    </row>
    <row r="10" spans="2:6" x14ac:dyDescent="0.25">
      <c r="B10" s="8">
        <f t="shared" si="0"/>
        <v>3</v>
      </c>
      <c r="C10" s="4" t="s">
        <v>18</v>
      </c>
      <c r="D10" s="13">
        <v>15</v>
      </c>
      <c r="E10" s="11"/>
    </row>
    <row r="11" spans="2:6" x14ac:dyDescent="0.25">
      <c r="B11" s="8">
        <f t="shared" si="0"/>
        <v>4</v>
      </c>
      <c r="C11" s="4" t="s">
        <v>19</v>
      </c>
      <c r="D11" s="13">
        <v>4</v>
      </c>
      <c r="E11" s="11"/>
    </row>
    <row r="12" spans="2:6" x14ac:dyDescent="0.25">
      <c r="B12" s="8">
        <f t="shared" si="0"/>
        <v>5</v>
      </c>
      <c r="C12" s="4" t="s">
        <v>20</v>
      </c>
      <c r="D12" s="13">
        <v>6</v>
      </c>
      <c r="E12" s="11"/>
    </row>
    <row r="13" spans="2:6" x14ac:dyDescent="0.25">
      <c r="B13" s="8">
        <f t="shared" si="0"/>
        <v>6</v>
      </c>
      <c r="C13" s="4" t="s">
        <v>21</v>
      </c>
      <c r="D13" s="13">
        <v>-350</v>
      </c>
      <c r="E13" s="11"/>
    </row>
    <row r="14" spans="2:6" x14ac:dyDescent="0.25">
      <c r="B14" s="8">
        <f t="shared" si="0"/>
        <v>7</v>
      </c>
      <c r="C14" s="4" t="s">
        <v>22</v>
      </c>
      <c r="D14" s="13">
        <v>-50</v>
      </c>
      <c r="E14" s="11"/>
    </row>
    <row r="15" spans="2:6" x14ac:dyDescent="0.25">
      <c r="B15" s="8">
        <f t="shared" si="0"/>
        <v>8</v>
      </c>
      <c r="C15" s="4"/>
      <c r="D15" s="13"/>
    </row>
    <row r="16" spans="2:6" x14ac:dyDescent="0.25">
      <c r="B16" s="8">
        <f t="shared" si="0"/>
        <v>9</v>
      </c>
      <c r="C16" s="4"/>
      <c r="D16" s="13"/>
    </row>
    <row r="17" spans="2:6" x14ac:dyDescent="0.25">
      <c r="B17" s="8">
        <f t="shared" si="0"/>
        <v>10</v>
      </c>
      <c r="C17" s="4"/>
      <c r="D17" s="13"/>
    </row>
    <row r="18" spans="2:6" x14ac:dyDescent="0.25">
      <c r="B18" s="8">
        <f t="shared" si="0"/>
        <v>11</v>
      </c>
      <c r="C18" s="4"/>
      <c r="D18" s="13"/>
    </row>
    <row r="19" spans="2:6" x14ac:dyDescent="0.25">
      <c r="B19" s="8">
        <f t="shared" si="0"/>
        <v>12</v>
      </c>
      <c r="C19" s="4"/>
      <c r="D19" s="13"/>
    </row>
    <row r="20" spans="2:6" x14ac:dyDescent="0.25">
      <c r="B20" s="8">
        <f t="shared" si="0"/>
        <v>13</v>
      </c>
      <c r="C20" s="4"/>
      <c r="D20" s="13"/>
    </row>
    <row r="21" spans="2:6" x14ac:dyDescent="0.25">
      <c r="B21" s="8">
        <f t="shared" si="0"/>
        <v>14</v>
      </c>
      <c r="C21" s="4"/>
      <c r="D21" s="13"/>
    </row>
    <row r="22" spans="2:6" x14ac:dyDescent="0.25">
      <c r="B22" s="8">
        <f t="shared" si="0"/>
        <v>15</v>
      </c>
      <c r="C22" s="4" t="s">
        <v>2</v>
      </c>
      <c r="D22" s="22">
        <f ca="1">Value_This-Value_Prev-SUM(INDEX(aoc_value,1):INDEX(aoc_value,Ind_AoC-1))</f>
        <v>-23</v>
      </c>
      <c r="E22" s="11"/>
    </row>
    <row r="24" spans="2:6" x14ac:dyDescent="0.25">
      <c r="B24" s="3"/>
      <c r="D24" s="1" t="s">
        <v>1</v>
      </c>
      <c r="E24" s="12">
        <v>184</v>
      </c>
      <c r="F24" s="10"/>
    </row>
    <row r="25" spans="2:6" x14ac:dyDescent="0.25">
      <c r="B25" s="3"/>
      <c r="D25" s="1" t="s">
        <v>0</v>
      </c>
      <c r="E25" s="4" t="s">
        <v>15</v>
      </c>
    </row>
  </sheetData>
  <phoneticPr fontId="17" type="noConversion"/>
  <pageMargins left="0.70866141732283472" right="0.70866141732283472" top="1.1811023622047245" bottom="0.98425196850393704" header="0.31496062992125984" footer="0.31496062992125984"/>
  <pageSetup paperSize="9" fitToHeight="0" orientation="landscape" r:id="rId1"/>
  <headerFooter scaleWithDoc="0"/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6">
    <tabColor theme="7" tint="0.39997558519241921"/>
  </sheetPr>
  <dimension ref="A1:F24"/>
  <sheetViews>
    <sheetView showGridLines="0" zoomScaleNormal="100" workbookViewId="0">
      <selection activeCell="E28" sqref="E28"/>
    </sheetView>
  </sheetViews>
  <sheetFormatPr defaultColWidth="9.140625" defaultRowHeight="15" x14ac:dyDescent="0.25"/>
  <cols>
    <col min="1" max="2" width="12.7109375" style="5" customWidth="1"/>
    <col min="3" max="3" width="3.42578125" style="5" customWidth="1"/>
    <col min="4" max="4" width="29.5703125" style="5" customWidth="1"/>
    <col min="5" max="5" width="38.140625" style="5" customWidth="1"/>
    <col min="6" max="6" width="9.7109375" style="15" customWidth="1"/>
    <col min="7" max="7" width="9.140625" style="5" customWidth="1"/>
    <col min="8" max="8" width="10.7109375" style="5" customWidth="1"/>
    <col min="9" max="9" width="9.140625" style="5" customWidth="1"/>
    <col min="10" max="16384" width="9.140625" style="5"/>
  </cols>
  <sheetData>
    <row r="1" spans="1:6" x14ac:dyDescent="0.25">
      <c r="C1"/>
    </row>
    <row r="2" spans="1:6" x14ac:dyDescent="0.25">
      <c r="A2" s="5" t="s">
        <v>12</v>
      </c>
      <c r="B2" s="5">
        <f ca="1">MIN(MIN(YourResults!aoc_value),-MAX(YourResults!aoc_value))</f>
        <v>-350</v>
      </c>
    </row>
    <row r="3" spans="1:6" x14ac:dyDescent="0.25">
      <c r="A3" s="5" t="s">
        <v>11</v>
      </c>
      <c r="B3" s="5">
        <f ca="1">MAX(-MIN(YourResults!aoc_value),MAX(YourResults!aoc_value))</f>
        <v>350</v>
      </c>
    </row>
    <row r="4" spans="1:6" x14ac:dyDescent="0.25">
      <c r="E4" s="17"/>
    </row>
    <row r="5" spans="1:6" x14ac:dyDescent="0.25">
      <c r="D5" s="14" t="str">
        <f>YourResults!Label_Prev</f>
        <v>Result last time</v>
      </c>
      <c r="E5" s="16" t="str">
        <f>TEXT(YourResults!Value_Prev,YourResults!AssetLiabNumberFormat)</f>
        <v>£432</v>
      </c>
    </row>
    <row r="6" spans="1:6" x14ac:dyDescent="0.25">
      <c r="A6"/>
      <c r="E6" s="21"/>
    </row>
    <row r="7" spans="1:6" x14ac:dyDescent="0.25">
      <c r="A7"/>
      <c r="B7" s="2" t="s">
        <v>5</v>
      </c>
      <c r="D7" s="2" t="s">
        <v>10</v>
      </c>
      <c r="E7" s="20" t="s">
        <v>9</v>
      </c>
      <c r="F7" s="20" t="s">
        <v>13</v>
      </c>
    </row>
    <row r="8" spans="1:6" x14ac:dyDescent="0.25">
      <c r="A8"/>
      <c r="B8" s="2">
        <v>1</v>
      </c>
      <c r="D8" s="19" t="str">
        <f>IF(INDEX(YourResults!aoc_description,MATCH(Ind_AoC,YourResults!Ind_AoC,0))="","",INDEX(YourResults!aoc_description,MATCH(Ind_AoC,YourResults!Ind_AoC,0)))</f>
        <v>Change 1</v>
      </c>
      <c r="E8" s="24">
        <f ca="1">INDEX(YourResults!aoc_value,MATCH(Ind_AoC,YourResults!Ind_AoC,0))</f>
        <v>-15</v>
      </c>
      <c r="F8" s="18" t="str">
        <f ca="1">TEXT(matched_in_data,YourResults!AssetLiabNumberFormat)</f>
        <v>-£15</v>
      </c>
    </row>
    <row r="9" spans="1:6" x14ac:dyDescent="0.25">
      <c r="A9"/>
      <c r="B9" s="2">
        <v>2</v>
      </c>
      <c r="D9" s="19" t="str">
        <f>IF(INDEX(YourResults!aoc_description,MATCH(Ind_AoC,YourResults!Ind_AoC,0))="","",INDEX(YourResults!aoc_description,MATCH(Ind_AoC,YourResults!Ind_AoC,0)))</f>
        <v>Change 2</v>
      </c>
      <c r="E9" s="24">
        <f ca="1">INDEX(YourResults!aoc_value,MATCH(Ind_AoC,YourResults!Ind_AoC,0))</f>
        <v>165</v>
      </c>
      <c r="F9" s="18" t="str">
        <f ca="1">TEXT(matched_in_data,YourResults!AssetLiabNumberFormat)</f>
        <v>£165</v>
      </c>
    </row>
    <row r="10" spans="1:6" x14ac:dyDescent="0.25">
      <c r="A10"/>
      <c r="B10" s="2">
        <v>3</v>
      </c>
      <c r="D10" s="19" t="str">
        <f>IF(INDEX(YourResults!aoc_description,MATCH(Ind_AoC,YourResults!Ind_AoC,0))="","",INDEX(YourResults!aoc_description,MATCH(Ind_AoC,YourResults!Ind_AoC,0)))</f>
        <v>Change 3</v>
      </c>
      <c r="E10" s="24">
        <f ca="1">INDEX(YourResults!aoc_value,MATCH(Ind_AoC,YourResults!Ind_AoC,0))</f>
        <v>15</v>
      </c>
      <c r="F10" s="18" t="str">
        <f ca="1">TEXT(matched_in_data,YourResults!AssetLiabNumberFormat)</f>
        <v>£15</v>
      </c>
    </row>
    <row r="11" spans="1:6" x14ac:dyDescent="0.25">
      <c r="A11"/>
      <c r="B11" s="2">
        <v>4</v>
      </c>
      <c r="D11" s="19" t="str">
        <f>IF(INDEX(YourResults!aoc_description,MATCH(Ind_AoC,YourResults!Ind_AoC,0))="","",INDEX(YourResults!aoc_description,MATCH(Ind_AoC,YourResults!Ind_AoC,0)))</f>
        <v>Change 4</v>
      </c>
      <c r="E11" s="24">
        <f ca="1">INDEX(YourResults!aoc_value,MATCH(Ind_AoC,YourResults!Ind_AoC,0))</f>
        <v>4</v>
      </c>
      <c r="F11" s="18" t="str">
        <f ca="1">TEXT(matched_in_data,YourResults!AssetLiabNumberFormat)</f>
        <v>£4</v>
      </c>
    </row>
    <row r="12" spans="1:6" x14ac:dyDescent="0.25">
      <c r="A12"/>
      <c r="B12" s="2">
        <v>5</v>
      </c>
      <c r="D12" s="19" t="str">
        <f>IF(INDEX(YourResults!aoc_description,MATCH(Ind_AoC,YourResults!Ind_AoC,0))="","",INDEX(YourResults!aoc_description,MATCH(Ind_AoC,YourResults!Ind_AoC,0)))</f>
        <v>Change 5</v>
      </c>
      <c r="E12" s="24">
        <f ca="1">INDEX(YourResults!aoc_value,MATCH(Ind_AoC,YourResults!Ind_AoC,0))</f>
        <v>6</v>
      </c>
      <c r="F12" s="18" t="str">
        <f ca="1">TEXT(matched_in_data,YourResults!AssetLiabNumberFormat)</f>
        <v>£6</v>
      </c>
    </row>
    <row r="13" spans="1:6" x14ac:dyDescent="0.25">
      <c r="A13"/>
      <c r="B13" s="2">
        <v>6</v>
      </c>
      <c r="D13" s="19" t="str">
        <f>IF(INDEX(YourResults!aoc_description,MATCH(Ind_AoC,YourResults!Ind_AoC,0))="","",INDEX(YourResults!aoc_description,MATCH(Ind_AoC,YourResults!Ind_AoC,0)))</f>
        <v>Change 6</v>
      </c>
      <c r="E13" s="24">
        <f ca="1">INDEX(YourResults!aoc_value,MATCH(Ind_AoC,YourResults!Ind_AoC,0))</f>
        <v>-350</v>
      </c>
      <c r="F13" s="18" t="str">
        <f ca="1">TEXT(matched_in_data,YourResults!AssetLiabNumberFormat)</f>
        <v>-£350</v>
      </c>
    </row>
    <row r="14" spans="1:6" x14ac:dyDescent="0.25">
      <c r="A14"/>
      <c r="B14" s="2">
        <v>7</v>
      </c>
      <c r="D14" s="19" t="str">
        <f>IF(INDEX(YourResults!aoc_description,MATCH(Ind_AoC,YourResults!Ind_AoC,0))="","",INDEX(YourResults!aoc_description,MATCH(Ind_AoC,YourResults!Ind_AoC,0)))</f>
        <v>Change 7</v>
      </c>
      <c r="E14" s="24">
        <f ca="1">INDEX(YourResults!aoc_value,MATCH(Ind_AoC,YourResults!Ind_AoC,0))</f>
        <v>-50</v>
      </c>
      <c r="F14" s="18" t="str">
        <f ca="1">TEXT(matched_in_data,YourResults!AssetLiabNumberFormat)</f>
        <v>-£50</v>
      </c>
    </row>
    <row r="15" spans="1:6" hidden="1" x14ac:dyDescent="0.25">
      <c r="A15"/>
      <c r="B15" s="2">
        <v>8</v>
      </c>
      <c r="D15" s="19" t="str">
        <f>IF(INDEX(YourResults!aoc_description,MATCH(Ind_AoC,YourResults!Ind_AoC,0))="","",INDEX(YourResults!aoc_description,MATCH(Ind_AoC,YourResults!Ind_AoC,0)))</f>
        <v/>
      </c>
      <c r="E15" s="24">
        <f ca="1">INDEX(YourResults!aoc_value,MATCH(Ind_AoC,YourResults!Ind_AoC,0))</f>
        <v>0</v>
      </c>
      <c r="F15" s="18" t="str">
        <f ca="1">TEXT(matched_in_data,YourResults!AssetLiabNumberFormat)</f>
        <v>£0</v>
      </c>
    </row>
    <row r="16" spans="1:6" hidden="1" x14ac:dyDescent="0.25">
      <c r="A16"/>
      <c r="B16" s="2">
        <v>9</v>
      </c>
      <c r="D16" s="19" t="str">
        <f>IF(INDEX(YourResults!aoc_description,MATCH(Ind_AoC,YourResults!Ind_AoC,0))="","",INDEX(YourResults!aoc_description,MATCH(Ind_AoC,YourResults!Ind_AoC,0)))</f>
        <v/>
      </c>
      <c r="E16" s="24">
        <f ca="1">INDEX(YourResults!aoc_value,MATCH(Ind_AoC,YourResults!Ind_AoC,0))</f>
        <v>0</v>
      </c>
      <c r="F16" s="18" t="str">
        <f ca="1">TEXT(matched_in_data,YourResults!AssetLiabNumberFormat)</f>
        <v>£0</v>
      </c>
    </row>
    <row r="17" spans="1:6" hidden="1" x14ac:dyDescent="0.25">
      <c r="A17"/>
      <c r="B17" s="2">
        <v>10</v>
      </c>
      <c r="D17" s="19" t="str">
        <f>IF(INDEX(YourResults!aoc_description,MATCH(Ind_AoC,YourResults!Ind_AoC,0))="","",INDEX(YourResults!aoc_description,MATCH(Ind_AoC,YourResults!Ind_AoC,0)))</f>
        <v/>
      </c>
      <c r="E17" s="24">
        <f ca="1">INDEX(YourResults!aoc_value,MATCH(Ind_AoC,YourResults!Ind_AoC,0))</f>
        <v>0</v>
      </c>
      <c r="F17" s="18" t="str">
        <f ca="1">TEXT(matched_in_data,YourResults!AssetLiabNumberFormat)</f>
        <v>£0</v>
      </c>
    </row>
    <row r="18" spans="1:6" hidden="1" x14ac:dyDescent="0.25">
      <c r="A18"/>
      <c r="B18" s="2">
        <v>11</v>
      </c>
      <c r="D18" s="19" t="str">
        <f>IF(INDEX(YourResults!aoc_description,MATCH(Ind_AoC,YourResults!Ind_AoC,0))="","",INDEX(YourResults!aoc_description,MATCH(Ind_AoC,YourResults!Ind_AoC,0)))</f>
        <v/>
      </c>
      <c r="E18" s="24">
        <f ca="1">INDEX(YourResults!aoc_value,MATCH(Ind_AoC,YourResults!Ind_AoC,0))</f>
        <v>0</v>
      </c>
      <c r="F18" s="18" t="str">
        <f ca="1">TEXT(matched_in_data,YourResults!AssetLiabNumberFormat)</f>
        <v>£0</v>
      </c>
    </row>
    <row r="19" spans="1:6" hidden="1" x14ac:dyDescent="0.25">
      <c r="A19"/>
      <c r="B19" s="2">
        <v>12</v>
      </c>
      <c r="D19" s="19" t="str">
        <f>IF(INDEX(YourResults!aoc_description,MATCH(Ind_AoC,YourResults!Ind_AoC,0))="","",INDEX(YourResults!aoc_description,MATCH(Ind_AoC,YourResults!Ind_AoC,0)))</f>
        <v/>
      </c>
      <c r="E19" s="24">
        <f ca="1">INDEX(YourResults!aoc_value,MATCH(Ind_AoC,YourResults!Ind_AoC,0))</f>
        <v>0</v>
      </c>
      <c r="F19" s="18" t="str">
        <f ca="1">TEXT(matched_in_data,YourResults!AssetLiabNumberFormat)</f>
        <v>£0</v>
      </c>
    </row>
    <row r="20" spans="1:6" hidden="1" x14ac:dyDescent="0.25">
      <c r="A20"/>
      <c r="B20" s="2">
        <v>13</v>
      </c>
      <c r="D20" s="19" t="str">
        <f>IF(INDEX(YourResults!aoc_description,MATCH(Ind_AoC,YourResults!Ind_AoC,0))="","",INDEX(YourResults!aoc_description,MATCH(Ind_AoC,YourResults!Ind_AoC,0)))</f>
        <v/>
      </c>
      <c r="E20" s="24">
        <f ca="1">INDEX(YourResults!aoc_value,MATCH(Ind_AoC,YourResults!Ind_AoC,0))</f>
        <v>0</v>
      </c>
      <c r="F20" s="18" t="str">
        <f ca="1">TEXT(matched_in_data,YourResults!AssetLiabNumberFormat)</f>
        <v>£0</v>
      </c>
    </row>
    <row r="21" spans="1:6" hidden="1" x14ac:dyDescent="0.25">
      <c r="A21"/>
      <c r="B21" s="2">
        <v>14</v>
      </c>
      <c r="D21" s="19" t="str">
        <f>IF(INDEX(YourResults!aoc_description,MATCH(Ind_AoC,YourResults!Ind_AoC,0))="","",INDEX(YourResults!aoc_description,MATCH(Ind_AoC,YourResults!Ind_AoC,0)))</f>
        <v/>
      </c>
      <c r="E21" s="24">
        <f ca="1">INDEX(YourResults!aoc_value,MATCH(Ind_AoC,YourResults!Ind_AoC,0))</f>
        <v>0</v>
      </c>
      <c r="F21" s="18" t="str">
        <f ca="1">TEXT(matched_in_data,YourResults!AssetLiabNumberFormat)</f>
        <v>£0</v>
      </c>
    </row>
    <row r="22" spans="1:6" x14ac:dyDescent="0.25">
      <c r="A22"/>
      <c r="B22" s="2">
        <v>15</v>
      </c>
      <c r="D22" s="19" t="str">
        <f>IF(INDEX(YourResults!aoc_description,MATCH(Ind_AoC,YourResults!Ind_AoC,0))="","",INDEX(YourResults!aoc_description,MATCH(Ind_AoC,YourResults!Ind_AoC,0)))</f>
        <v>Miscellaneous</v>
      </c>
      <c r="E22" s="24">
        <f ca="1">INDEX(YourResults!aoc_value,MATCH(Ind_AoC,YourResults!Ind_AoC,0))</f>
        <v>-23</v>
      </c>
      <c r="F22" s="18" t="str">
        <f ca="1">TEXT(matched_in_data,YourResults!AssetLiabNumberFormat)</f>
        <v>-£23</v>
      </c>
    </row>
    <row r="23" spans="1:6" x14ac:dyDescent="0.25">
      <c r="A23"/>
      <c r="E23" s="17"/>
      <c r="F23" s="18"/>
    </row>
    <row r="24" spans="1:6" x14ac:dyDescent="0.25">
      <c r="D24" s="14" t="str">
        <f>YourResults!Label_This</f>
        <v>Result this time</v>
      </c>
      <c r="E24" s="16" t="str">
        <f>TEXT(YourResults!Value_This,YourResults!AssetLiabNumberFormat)</f>
        <v>£184</v>
      </c>
    </row>
  </sheetData>
  <conditionalFormatting sqref="E6">
    <cfRule type="dataBar" priority="24">
      <dataBar>
        <cfvo type="num" val="$B$2"/>
        <cfvo type="num" val="$B$3"/>
        <color rgb="FF638EC6"/>
      </dataBar>
    </cfRule>
  </conditionalFormatting>
  <conditionalFormatting sqref="E8:E22">
    <cfRule type="dataBar" priority="25">
      <dataBar>
        <cfvo type="num" val="$B$2"/>
        <cfvo type="num" val="$B$3"/>
        <color rgb="FF002060"/>
      </dataBar>
      <extLst>
        <ext xmlns:x14="http://schemas.microsoft.com/office/spreadsheetml/2009/9/main" uri="{B025F937-C7B1-47D3-B67F-A62EFF666E3E}">
          <x14:id>{CB346CFE-3AF4-4D3F-9056-20604C70E8B0}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346CFE-3AF4-4D3F-9056-20604C70E8B0}">
            <x14:dataBar minLength="0" maxLength="100" gradient="0">
              <x14:cfvo type="num">
                <xm:f>$B$2</xm:f>
              </x14:cfvo>
              <x14:cfvo type="num">
                <xm:f>$B$3</xm:f>
              </x14:cfvo>
              <x14:negativeFillColor rgb="FFFF9900"/>
              <x14:axisColor rgb="FF000000"/>
            </x14:dataBar>
          </x14:cfRule>
          <xm:sqref>E8:E22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YourResults</vt:lpstr>
      <vt:lpstr>YourResultsChart</vt:lpstr>
      <vt:lpstr>YourResults!aoc_description</vt:lpstr>
      <vt:lpstr>YourResults!aoc_value</vt:lpstr>
      <vt:lpstr>YourResults!AssetLiabNumberFormat</vt:lpstr>
      <vt:lpstr>YourResults!Ind_AoC</vt:lpstr>
      <vt:lpstr>YourResultsChart!Ind_AoC</vt:lpstr>
      <vt:lpstr>YourResults!Label_Prev</vt:lpstr>
      <vt:lpstr>YourResults!Label_This</vt:lpstr>
      <vt:lpstr>YourResultsChart!matched_in_data</vt:lpstr>
      <vt:lpstr>YourResultsChart!matched_in_description</vt:lpstr>
      <vt:lpstr>YourResultsChart!Max_chart</vt:lpstr>
      <vt:lpstr>YourResultsChart!Min_chart</vt:lpstr>
      <vt:lpstr>YourResults!Value_Prev</vt:lpstr>
      <vt:lpstr>YourResults!Value_This</vt:lpstr>
      <vt:lpstr>YourResultsChart!values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 Kirby</cp:lastModifiedBy>
  <cp:lastPrinted>2024-01-09T17:33:46Z</cp:lastPrinted>
  <dcterms:created xsi:type="dcterms:W3CDTF">2015-04-22T10:18:27Z</dcterms:created>
  <dcterms:modified xsi:type="dcterms:W3CDTF">2024-01-10T09:56:33Z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odelName">
    <vt:lpwstr/>
  </property>
  <property fmtid="{D5CDD505-2E9C-101B-9397-08002B2CF9AE}" pid="3" name="CurrentVersion">
    <vt:lpwstr/>
  </property>
  <property fmtid="{D5CDD505-2E9C-101B-9397-08002B2CF9AE}" pid="4" name="PrecedentName">
    <vt:lpwstr/>
  </property>
  <property fmtid="{D5CDD505-2E9C-101B-9397-08002B2CF9AE}" pid="5" name="ActionIfOlder">
    <vt:lpwstr/>
  </property>
  <property fmtid="{D5CDD505-2E9C-101B-9397-08002B2CF9AE}" pid="6" name="ActionIfEarlier">
    <vt:lpwstr/>
  </property>
  <property fmtid="{D5CDD505-2E9C-101B-9397-08002B2CF9AE}" pid="7" name="ActionIfLater">
    <vt:lpwstr/>
  </property>
  <property fmtid="{D5CDD505-2E9C-101B-9397-08002B2CF9AE}" pid="8" name="PrecDesc">
    <vt:lpwstr/>
  </property>
  <property fmtid="{D5CDD505-2E9C-101B-9397-08002B2CF9AE}" pid="9" name="LogName">
    <vt:lpwstr/>
  </property>
  <property fmtid="{D5CDD505-2E9C-101B-9397-08002B2CF9AE}" pid="10" name="FilePath">
    <vt:lpwstr/>
  </property>
  <property fmtid="{D5CDD505-2E9C-101B-9397-08002B2CF9AE}" pid="11" name="Client ID">
    <vt:lpwstr/>
  </property>
  <property fmtid="{D5CDD505-2E9C-101B-9397-08002B2CF9AE}" pid="12" name="Client Name">
    <vt:lpwstr/>
  </property>
  <property fmtid="{D5CDD505-2E9C-101B-9397-08002B2CF9AE}" pid="13" name="Matter ID">
    <vt:lpwstr/>
  </property>
  <property fmtid="{D5CDD505-2E9C-101B-9397-08002B2CF9AE}" pid="14" name="Matter Name">
    <vt:lpwstr/>
  </property>
  <property fmtid="{D5CDD505-2E9C-101B-9397-08002B2CF9AE}" pid="15" name="SavedThisSession">
    <vt:lpwstr/>
  </property>
  <property fmtid="{D5CDD505-2E9C-101B-9397-08002B2CF9AE}" pid="16" name="MSIP_Label_d5ac7bf9-80af-432c-a5e1-3497cc5f5cff_Enabled">
    <vt:lpwstr>true</vt:lpwstr>
  </property>
  <property fmtid="{D5CDD505-2E9C-101B-9397-08002B2CF9AE}" pid="17" name="MSIP_Label_d5ac7bf9-80af-432c-a5e1-3497cc5f5cff_SetDate">
    <vt:lpwstr>2024-01-10T09:56:30Z</vt:lpwstr>
  </property>
  <property fmtid="{D5CDD505-2E9C-101B-9397-08002B2CF9AE}" pid="18" name="MSIP_Label_d5ac7bf9-80af-432c-a5e1-3497cc5f5cff_Method">
    <vt:lpwstr>Privileged</vt:lpwstr>
  </property>
  <property fmtid="{D5CDD505-2E9C-101B-9397-08002B2CF9AE}" pid="19" name="MSIP_Label_d5ac7bf9-80af-432c-a5e1-3497cc5f5cff_Name">
    <vt:lpwstr>ADC_class_100</vt:lpwstr>
  </property>
  <property fmtid="{D5CDD505-2E9C-101B-9397-08002B2CF9AE}" pid="20" name="MSIP_Label_d5ac7bf9-80af-432c-a5e1-3497cc5f5cff_SiteId">
    <vt:lpwstr>94cfddbc-0627-494a-ad7a-29aea3aea832</vt:lpwstr>
  </property>
  <property fmtid="{D5CDD505-2E9C-101B-9397-08002B2CF9AE}" pid="21" name="MSIP_Label_d5ac7bf9-80af-432c-a5e1-3497cc5f5cff_ActionId">
    <vt:lpwstr>83295eb4-d6fd-45a3-b002-4e42d74ce186</vt:lpwstr>
  </property>
  <property fmtid="{D5CDD505-2E9C-101B-9397-08002B2CF9AE}" pid="22" name="MSIP_Label_d5ac7bf9-80af-432c-a5e1-3497cc5f5cff_ContentBits">
    <vt:lpwstr>0</vt:lpwstr>
  </property>
</Properties>
</file>